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  <sheet state="visible" name="Notes" sheetId="2" r:id="rId6"/>
  </sheets>
  <definedNames/>
  <calcPr/>
</workbook>
</file>

<file path=xl/sharedStrings.xml><?xml version="1.0" encoding="utf-8"?>
<sst xmlns="http://schemas.openxmlformats.org/spreadsheetml/2006/main" count="163" uniqueCount="120">
  <si>
    <t>MeshEMS V3 w/o CS Energy Meter  - Bill of Materials</t>
  </si>
  <si>
    <t>Compatible with NESL EMS CONTROLLER PCB 865B</t>
  </si>
  <si>
    <t>Boards to build:</t>
  </si>
  <si>
    <t>&lt;- edit; 'Ext. qty' updates automatically</t>
  </si>
  <si>
    <t>Item #</t>
  </si>
  <si>
    <t>Component</t>
  </si>
  <si>
    <t>Qty/
board</t>
  </si>
  <si>
    <t>Ext.
qty</t>
  </si>
  <si>
    <t>Part Description</t>
  </si>
  <si>
    <t>Amazon ASIN</t>
  </si>
  <si>
    <t>Amazon link</t>
  </si>
  <si>
    <t>Secondary supplier</t>
  </si>
  <si>
    <t>Secondary part no. (MPN)</t>
  </si>
  <si>
    <t>Secondary link</t>
  </si>
  <si>
    <t>Notes / status</t>
  </si>
  <si>
    <t>ESP32-S3 dev board</t>
  </si>
  <si>
    <t>Hosyond ESP32-S3-WROOM-1 dev board, N16R8 (16 MB flash / 8 MB PSRAM), USB-C</t>
  </si>
  <si>
    <t>B0F5QCK6X5</t>
  </si>
  <si>
    <t>open</t>
  </si>
  <si>
    <t xml:space="preserve">Espressif </t>
  </si>
  <si>
    <t>ESP32-S3-DevKitC-1-N16R8</t>
  </si>
  <si>
    <t>Official Espressif board, same module/mem config. DigiKey PN 1965-ESP32-S3-DEVKITC-1-N16R8-ND. Pin labeling differs slightly from the Hosyond clone.</t>
  </si>
  <si>
    <t>1.3" OLED display</t>
  </si>
  <si>
    <t>1.3" 128x64 mono OLED, SH1106/SSD1306, I2C or SPI (4pc pack)</t>
  </si>
  <si>
    <t>B09ZPDBY67</t>
  </si>
  <si>
    <t xml:space="preserve">Adafruit </t>
  </si>
  <si>
    <t>Adafruit 938</t>
  </si>
  <si>
    <t>Adafruit 938 = 1.3" 128x64 SH1106 mono OLED. Confirm SPI wiring; pin order varies between clones.</t>
  </si>
  <si>
    <t>W5500 Ethernet Adaptor</t>
  </si>
  <si>
    <t>ACEIRMC W5500 SPI-to-Ethernet module (WIZ820io-style, 3.3/5 V, 5pc pack)</t>
  </si>
  <si>
    <t>B0DTTLGJCS</t>
  </si>
  <si>
    <t xml:space="preserve">WIZnet </t>
  </si>
  <si>
    <t xml:space="preserve">WIZ850io (module) </t>
  </si>
  <si>
    <t>WIZ850io is the branded W5500 module equivalent</t>
  </si>
  <si>
    <t>TTL&lt;-&gt; RS-485 Module</t>
  </si>
  <si>
    <t>Teyleten TTL&lt;-&gt;RS-485 auto-flow module</t>
  </si>
  <si>
    <t>B0CPFDJZXL</t>
  </si>
  <si>
    <t>AliExpress</t>
  </si>
  <si>
    <t>TTL-RS485 auto flow control module, 3.3/5 V (item 3256807260061895)</t>
  </si>
  <si>
    <t>MAX13487E IC is the auto-direction transceiver at its core. Pin order on these clones isn't standardized - verify the header pinout.</t>
  </si>
  <si>
    <t>SD card module</t>
  </si>
  <si>
    <t>DAOKAI microSD card module w/ level shifting, for Arduino (5pc pack)</t>
  </si>
  <si>
    <t>B09YYG6BT3</t>
  </si>
  <si>
    <t>Adafruit 254</t>
  </si>
  <si>
    <t>Adafruit 254 = level-shifted microSD breakout. Check whether your board relies on the module's onboard 3.3 V regulator / level shifter.</t>
  </si>
  <si>
    <t>4pin Tactical switch</t>
  </si>
  <si>
    <t>Chanzon 6x6x5 mm THT tactile switch, SPST-NO, 4-pin (150pc pack)</t>
  </si>
  <si>
    <t>B09R47N37H</t>
  </si>
  <si>
    <t xml:space="preserve">Omron </t>
  </si>
  <si>
    <t>B3F-1020</t>
  </si>
  <si>
    <t>10k ohm resistor</t>
  </si>
  <si>
    <t>10 kohm resistor, 1/4 W 1% axial (THT)</t>
  </si>
  <si>
    <t>B07HDGX5LM</t>
  </si>
  <si>
    <t xml:space="preserve">Yageo </t>
  </si>
  <si>
    <t>MFR-25FBF52-10K0</t>
  </si>
  <si>
    <t>51k ohm resistor</t>
  </si>
  <si>
    <t>51 kohm resistor, 1/4 W 1% axial (THT)</t>
  </si>
  <si>
    <t>B08QRWL6Z2</t>
  </si>
  <si>
    <t>MFR-25FBF52-51K0</t>
  </si>
  <si>
    <t>0.1uf capacitor</t>
  </si>
  <si>
    <t>0.1 uF (100 nF) ceramic disc, X7R, 50 V (THT)</t>
  </si>
  <si>
    <t>B08B3VCK42</t>
  </si>
  <si>
    <t xml:space="preserve">Vishay / KEMET </t>
  </si>
  <si>
    <t>K104K15X7RF5UH5  (Vishay, THT radial disc)</t>
  </si>
  <si>
    <t>0.1 uF, THT confirmed. 50 V X7R radial disc, 2.54 mm lead spacing. KEMET C315C104K5R5TA is an equivalent.</t>
  </si>
  <si>
    <t>2pin right-angle connector
(SSR1, SSR2, GPS, Door SW, RS485 (EVC))</t>
  </si>
  <si>
    <t>2-pin 3.81 mm pluggable set, RIGHT-ANGLE (screw plug + RA PCB header)</t>
  </si>
  <si>
    <t>B0G48MZGPL</t>
  </si>
  <si>
    <t>Phoenix Contact</t>
  </si>
  <si>
    <t>5444262 (2-pos RA header) + 5447861 (2-pos plug)</t>
  </si>
  <si>
    <t>2pin straight connector
(EX3.3V, EX5V)</t>
  </si>
  <si>
    <t>2-pin 3.81 mm pluggable set, VERTICAL/straight (screw plug + vertical header)</t>
  </si>
  <si>
    <t>B0FRZB8686</t>
  </si>
  <si>
    <t>1803277 (2-pos vertical header) + 5447861 (2-pos plug)</t>
  </si>
  <si>
    <r>
      <rPr>
        <rFont val="Arial"/>
        <color rgb="FF1155CC"/>
        <sz val="9.0"/>
        <u/>
      </rPr>
      <t>header</t>
    </r>
    <r>
      <rPr>
        <rFont val="Arial"/>
        <color rgb="FF000000"/>
        <sz val="9.0"/>
      </rPr>
      <t xml:space="preserve">
</t>
    </r>
    <r>
      <rPr>
        <rFont val="Arial"/>
        <color rgb="FF1155CC"/>
        <sz val="9.0"/>
        <u/>
      </rPr>
      <t>plug</t>
    </r>
  </si>
  <si>
    <t>1 x 4-pin connector</t>
  </si>
  <si>
    <t>4-pin 3.81 mm pluggable set, right-angle (same family as the 2-pin RA set)</t>
  </si>
  <si>
    <t>B0G48SRM1N</t>
  </si>
  <si>
    <t>5447887 (4-pos plug) + 5444288 (4-pos 3.81 mm RA header)</t>
  </si>
  <si>
    <r>
      <rPr>
        <rFont val="Arial"/>
        <color rgb="FF1155CC"/>
        <sz val="9.0"/>
        <u/>
      </rPr>
      <t>header</t>
    </r>
    <r>
      <rPr>
        <rFont val="Arial"/>
        <color rgb="FF000000"/>
        <sz val="9.0"/>
      </rPr>
      <t xml:space="preserve">
</t>
    </r>
    <r>
      <rPr>
        <rFont val="Arial"/>
        <color rgb="FF1155CC"/>
        <sz val="9.0"/>
        <u/>
      </rPr>
      <t>plug</t>
    </r>
  </si>
  <si>
    <t>2-pin 0.1" male header</t>
  </si>
  <si>
    <t>2.54 mm THT male header, 2 position</t>
  </si>
  <si>
    <t>B01GKJZ310</t>
  </si>
  <si>
    <t xml:space="preserve">Sullins </t>
  </si>
  <si>
    <t>PRPC040SAAN-RC</t>
  </si>
  <si>
    <t>Cheapest is a 1x40 breakaway strip snapped to length.</t>
  </si>
  <si>
    <t>2-pin 0.1" jumper</t>
  </si>
  <si>
    <t>2.54 mm shunt / jumper (open top)</t>
  </si>
  <si>
    <t>B0BRK36G33</t>
  </si>
  <si>
    <t>SPC02SYAN (or QPC02SXGN-RC)</t>
  </si>
  <si>
    <t>Standard 0.1" jumper shunt. DigiKey S9337-ND.</t>
  </si>
  <si>
    <t>1x20 0.1" male header</t>
  </si>
  <si>
    <t>2.54 mm THT male header, 1x20 (mating rows for the ESP32-S3 board)</t>
  </si>
  <si>
    <t>PRPC040SAAN-RC 1x40 snapped to 20</t>
  </si>
  <si>
    <t>Two 1x20 rows = the strips the energy meter board sits on.</t>
  </si>
  <si>
    <t>1x7 female PCB header</t>
  </si>
  <si>
    <t>Dahszhi 2.54 mm female header strip, 1x7</t>
  </si>
  <si>
    <t>B0CTKF396C</t>
  </si>
  <si>
    <t>PPTC071LFBN-RC</t>
  </si>
  <si>
    <t>1x7 male stackable PCB header</t>
  </si>
  <si>
    <t>2.54 mm stackable / pass-through header, 1x7, 10 mm stack height</t>
  </si>
  <si>
    <t>B0778M5P1W</t>
  </si>
  <si>
    <t>Samtec</t>
  </si>
  <si>
    <t>SSQ-107-03-T-S</t>
  </si>
  <si>
    <t>Amazon listing is for ZYAMY 30pcs 2.54mm 6Pin 8Pin 10Pin Female Socket Pin Header Strip Kit. Use 8 pin strip and cut off extra terminal position</t>
  </si>
  <si>
    <t>5.08 mm 3-pin right-angle terminal block</t>
  </si>
  <si>
    <t>uxcell 3-pin 5.08 mm right-angle PCB screw terminal block, 10 sets (marked temporary)</t>
  </si>
  <si>
    <t>B0924NMTQ3</t>
  </si>
  <si>
    <t>Phoenix</t>
  </si>
  <si>
    <t>1757022 (3-pos plug) + 1757255 (3-pos 5.08 mm RA header)</t>
  </si>
  <si>
    <r>
      <rPr>
        <rFont val="Arial"/>
        <color rgb="FF1155CC"/>
        <sz val="9.0"/>
        <u/>
      </rPr>
      <t>header</t>
    </r>
    <r>
      <rPr>
        <rFont val="Arial"/>
        <color rgb="FF1F1F1F"/>
        <sz val="9.0"/>
      </rPr>
      <t xml:space="preserve">
</t>
    </r>
    <r>
      <rPr>
        <rFont val="Arial"/>
        <color rgb="FF1155CC"/>
        <sz val="9.0"/>
        <u/>
      </rPr>
      <t>plug</t>
    </r>
  </si>
  <si>
    <t>5.08 mm 3-pos RA screw terminal</t>
  </si>
  <si>
    <t>DIN rail mounting clip</t>
  </si>
  <si>
    <t>CNQLIS 35 mm DIN-rail snap-in clip, aluminum (10pc pack)</t>
  </si>
  <si>
    <t>B0CJHHXYM9</t>
  </si>
  <si>
    <t>Recom Power</t>
  </si>
  <si>
    <t>R-DR/CLIP</t>
  </si>
  <si>
    <t>35 mm DIN-rail bracket</t>
  </si>
  <si>
    <t>Notes</t>
  </si>
  <si>
    <t>Details around parts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</si>
</sst>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5.0"/>
      <color rgb="FF1F2937"/>
      <name val="Arial"/>
    </font>
    <font>
      <sz val="9.0"/>
      <color rgb="FF6B7280"/>
      <name val="Arial"/>
    </font>
    <font>
      <b/>
      <sz val="9.0"/>
      <color rgb="FF374151"/>
      <name val="Arial"/>
    </font>
    <font>
      <b/>
      <sz val="10.0"/>
      <color rgb="FF0000FF"/>
      <name val="Arial"/>
    </font>
    <font>
      <i/>
      <sz val="9.0"/>
      <color rgb="FF6B7280"/>
      <name val="Arial"/>
    </font>
    <font>
      <b/>
      <sz val="9.0"/>
      <color rgb="FFFFFFFF"/>
      <name val="Arial"/>
    </font>
    <font>
      <sz val="9.0"/>
      <color rgb="FF111827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sz val="9.0"/>
      <color rgb="FF1F1F1F"/>
      <name val="Arial"/>
    </font>
    <font>
      <b/>
      <sz val="10.0"/>
      <color rgb="FF1F2937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74151"/>
        <bgColor rgb="FF374151"/>
      </patternFill>
    </fill>
    <fill>
      <patternFill patternType="solid">
        <fgColor rgb="FFF3F4F6"/>
        <bgColor rgb="FFF3F4F6"/>
      </patternFill>
    </fill>
    <fill>
      <patternFill patternType="solid">
        <fgColor rgb="FFFFF3CD"/>
        <bgColor rgb="FFFFF3CD"/>
      </patternFill>
    </fill>
  </fills>
  <borders count="3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shrinkToFit="0" vertical="center" wrapText="0"/>
    </xf>
    <xf borderId="1" fillId="2" fontId="4" numFmtId="0" xfId="0" applyAlignment="1" applyBorder="1" applyFill="1" applyFont="1">
      <alignment horizontal="center" readingOrder="0" shrinkToFit="0" vertical="center" wrapText="0"/>
    </xf>
    <xf borderId="0" fillId="0" fontId="5" numFmtId="0" xfId="0" applyAlignment="1" applyFont="1">
      <alignment shrinkToFit="0" vertical="bottom" wrapText="0"/>
    </xf>
    <xf borderId="1" fillId="3" fontId="6" numFmtId="0" xfId="0" applyAlignment="1" applyBorder="1" applyFill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8" numFmtId="0" xfId="0" applyAlignment="1" applyBorder="1" applyFont="1">
      <alignment horizontal="center" shrinkToFit="0" vertical="top" wrapText="1"/>
    </xf>
    <xf borderId="1" fillId="0" fontId="9" numFmtId="0" xfId="0" applyAlignment="1" applyBorder="1" applyFont="1">
      <alignment horizontal="center" readingOrder="0" shrinkToFit="0" vertical="top" wrapText="1"/>
    </xf>
    <xf borderId="1" fillId="4" fontId="7" numFmtId="0" xfId="0" applyAlignment="1" applyBorder="1" applyFill="1" applyFont="1">
      <alignment horizontal="center" shrinkToFit="0" vertical="top" wrapText="1"/>
    </xf>
    <xf borderId="1" fillId="4" fontId="7" numFmtId="0" xfId="0" applyAlignment="1" applyBorder="1" applyFont="1">
      <alignment readingOrder="0" shrinkToFit="0" vertical="top" wrapText="1"/>
    </xf>
    <xf borderId="1" fillId="4" fontId="7" numFmtId="0" xfId="0" applyAlignment="1" applyBorder="1" applyFont="1">
      <alignment shrinkToFit="0" vertical="top" wrapText="1"/>
    </xf>
    <xf borderId="1" fillId="0" fontId="7" numFmtId="0" xfId="0" applyAlignment="1" applyBorder="1" applyFont="1">
      <alignment horizontal="center" readingOrder="0" shrinkToFit="0" vertical="top" wrapText="1"/>
    </xf>
    <xf borderId="1" fillId="4" fontId="7" numFmtId="0" xfId="0" applyAlignment="1" applyBorder="1" applyFont="1">
      <alignment horizontal="center" readingOrder="0" shrinkToFit="0" vertical="top" wrapText="1"/>
    </xf>
    <xf borderId="1" fillId="0" fontId="10" numFmtId="0" xfId="0" applyAlignment="1" applyBorder="1" applyFont="1">
      <alignment horizontal="center" readingOrder="0" shrinkToFit="0" vertical="top" wrapText="1"/>
    </xf>
    <xf borderId="0" fillId="0" fontId="5" numFmtId="0" xfId="0" applyAlignment="1" applyFont="1">
      <alignment readingOrder="0" shrinkToFit="0" vertical="bottom" wrapText="0"/>
    </xf>
    <xf borderId="2" fillId="5" fontId="11" numFmtId="0" xfId="0" applyAlignment="1" applyBorder="1" applyFill="1" applyFont="1">
      <alignment readingOrder="0" shrinkToFit="0" vertical="bottom" wrapText="0"/>
    </xf>
    <xf borderId="0" fillId="0" fontId="7" numFmtId="0" xfId="0" applyAlignment="1" applyFont="1">
      <alignment shrinkToFit="0" vertical="top" wrapText="1"/>
    </xf>
    <xf borderId="2" fillId="0" fontId="1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igikey.com/en/products/detail/phoenix-contact/5444262/4368763" TargetMode="External"/><Relationship Id="rId22" Type="http://schemas.openxmlformats.org/officeDocument/2006/relationships/hyperlink" Target="https://www.digikey.com/en/products/result?keywords=Phoenix+Contact+1803277" TargetMode="External"/><Relationship Id="rId21" Type="http://schemas.openxmlformats.org/officeDocument/2006/relationships/hyperlink" Target="https://www.amazon.com/dp/B0FRZB8686" TargetMode="External"/><Relationship Id="rId24" Type="http://schemas.openxmlformats.org/officeDocument/2006/relationships/hyperlink" Target="https://www.digikey.com/en/products/detail/phoenix-contact/5444288/4390416" TargetMode="External"/><Relationship Id="rId23" Type="http://schemas.openxmlformats.org/officeDocument/2006/relationships/hyperlink" Target="https://www.amazon.com/dp/B0G48SRM1N" TargetMode="External"/><Relationship Id="rId1" Type="http://schemas.openxmlformats.org/officeDocument/2006/relationships/hyperlink" Target="https://www.amazon.com/dp/B0F5QCK6X5" TargetMode="External"/><Relationship Id="rId2" Type="http://schemas.openxmlformats.org/officeDocument/2006/relationships/hyperlink" Target="https://www.digikey.com/en/products/detail/espressif-systems/ESP32-S3-DEVKITC-1-N8R8/15295894?s=N4IgTCBcDaIKYGcAOBmMBaBL0BM4DcBrASwBcBjdARnQDsAOAJ3pAF0BfIA" TargetMode="External"/><Relationship Id="rId3" Type="http://schemas.openxmlformats.org/officeDocument/2006/relationships/hyperlink" Target="https://www.amazon.com/dp/B09ZPDBY67" TargetMode="External"/><Relationship Id="rId4" Type="http://schemas.openxmlformats.org/officeDocument/2006/relationships/hyperlink" Target="https://www.digikey.com/en/products/detail/adafruit-industries-llc/938/5774238?s=N4IgTCBcDaIIIBMCGAzATgVwJYBcAEAnAMwAcIAugL5A" TargetMode="External"/><Relationship Id="rId9" Type="http://schemas.openxmlformats.org/officeDocument/2006/relationships/hyperlink" Target="https://www.amazon.com/dp/B09YYG6BT3" TargetMode="External"/><Relationship Id="rId26" Type="http://schemas.openxmlformats.org/officeDocument/2006/relationships/hyperlink" Target="https://www.digikey.com/en/products/result?keywords=PRPC040SAAN-RC" TargetMode="External"/><Relationship Id="rId25" Type="http://schemas.openxmlformats.org/officeDocument/2006/relationships/hyperlink" Target="https://www.amazon.com/Uxcell-a16031600ux0732-Straight-Single-Breakaway/dp/B01GKJZ310/" TargetMode="External"/><Relationship Id="rId28" Type="http://schemas.openxmlformats.org/officeDocument/2006/relationships/hyperlink" Target="https://www.digikey.com/en/products/result?keywords=SPC02SYAN" TargetMode="External"/><Relationship Id="rId27" Type="http://schemas.openxmlformats.org/officeDocument/2006/relationships/hyperlink" Target="https://www.amazon.com/California-JOS-Standard-Circuit-Connection/dp/B0BRK36G33/ref=sr_1_2_sspa?crid=17WB8UL0KEKRT&amp;dib=eyJ2IjoiMSJ9.mTX4gJZLtPAfMrmYyWxMQ9eKA6k55YdAkurPv-ggEhXb2oUgFxDx5ll_5_y9evxvh17_Wy_2xEVlnmT7gCMI7VHokaBOZ4FwivpgqOAdKLOQA17v0ZPfznPUGUyGOCogyHKsHH7hqixnHuDI1ApgnwpmFr_OlSB8JqIr0J3kgClSimiBmgXLg86famC9-EJnPiybWnUjyzKg3_csTQ7EoRtONc9QHwKum7PEP85A2QRQOCqv7g52Snnpf0WKZrsVNZq9Y7Wf3iQwQi-HmqfZZFIHBtnbuIsEvpbshqlE7tE.IGrKJ_SAVSdI6iQbSZKYfh6wHKCnJIWZ3r8pRmzx93Y&amp;dib_tag=se&amp;keywords=CONN%2BJUMPER&amp;qid=1784309450&amp;sprefix=corn%2Bjumper%2Caps%2C203&amp;sr=8-2-spons&amp;sp_csd=d2lkZ2V0TmFtZT1zcF9hdGY&amp;th=1" TargetMode="External"/><Relationship Id="rId5" Type="http://schemas.openxmlformats.org/officeDocument/2006/relationships/hyperlink" Target="https://www.amazon.com/dp/B0DTTLGJCS" TargetMode="External"/><Relationship Id="rId6" Type="http://schemas.openxmlformats.org/officeDocument/2006/relationships/hyperlink" Target="https://www.digikey.com/en/products/result?keywords=WIZ850io" TargetMode="External"/><Relationship Id="rId29" Type="http://schemas.openxmlformats.org/officeDocument/2006/relationships/hyperlink" Target="https://www.amazon.com/Uxcell-a16031600ux0732-Straight-Single-Breakaway/dp/B01GKJZ310/" TargetMode="External"/><Relationship Id="rId7" Type="http://schemas.openxmlformats.org/officeDocument/2006/relationships/hyperlink" Target="https://www.amazon.com/dp/B0CPFDJZXL" TargetMode="External"/><Relationship Id="rId8" Type="http://schemas.openxmlformats.org/officeDocument/2006/relationships/hyperlink" Target="https://www.aliexpress.us/item/3256807260061895.html" TargetMode="External"/><Relationship Id="rId31" Type="http://schemas.openxmlformats.org/officeDocument/2006/relationships/hyperlink" Target="https://www.amazon.com/dp/B0CTKF396C" TargetMode="External"/><Relationship Id="rId30" Type="http://schemas.openxmlformats.org/officeDocument/2006/relationships/hyperlink" Target="https://www.digikey.com/en/products/result?keywords=PREC020SAAN-RC" TargetMode="External"/><Relationship Id="rId11" Type="http://schemas.openxmlformats.org/officeDocument/2006/relationships/hyperlink" Target="https://www.amazon.com/dp/B09R47N37H" TargetMode="External"/><Relationship Id="rId33" Type="http://schemas.openxmlformats.org/officeDocument/2006/relationships/hyperlink" Target="https://www.amazon.com/ZYAMY-2-54mm-Straight-Stackable-Connector/dp/B0778M5P1W/ref=sr_1_2?crid=1ZIH7WYHRW2VA&amp;dib=eyJ2IjoiMSJ9.av-KkSGCKGFe-AEjrAtF_Nk2UsLwgM052FNxKxnzQ2kQQlJKebjZzbMaC5l5eypHXgZUFuwh32mNr5iNad3mI65WtuhOukFFGsMdRTOhjrU2Ic6h6tEfiBh8f5zLyYcp_-OPYGT8IJ1GsGtAW2CgKJ4DK7rtWv7kF9gYRG6KRK2PTf8IxnezcAz-4a_t7R11mbq85SDt4U_JLtdnYE3eO2WOUuixsW8I6D3gEtoR6gw.ni7Lp5h6cIwV2lWee7J80_FG1B80zjWDdo-Ut6GNvSY&amp;dib_tag=se&amp;keywords=2.54+mm+stackable+header%2C+1x7&amp;qid=1784307939&amp;sprefix=2.54+mm+stackable+header%2C+1x7%2Caps%2C147&amp;sr=8-2" TargetMode="External"/><Relationship Id="rId10" Type="http://schemas.openxmlformats.org/officeDocument/2006/relationships/hyperlink" Target="https://www.digikey.com/en/products/result?keywords=Adafruit+254" TargetMode="External"/><Relationship Id="rId32" Type="http://schemas.openxmlformats.org/officeDocument/2006/relationships/hyperlink" Target="https://www.digikey.com/en/products/result?keywords=PPTC071LFBN-RC" TargetMode="External"/><Relationship Id="rId13" Type="http://schemas.openxmlformats.org/officeDocument/2006/relationships/hyperlink" Target="https://www.amazon.com/EDGELEC-Resistor-Tolerance-Resistance-Optional/dp/B07HDGX5LM" TargetMode="External"/><Relationship Id="rId35" Type="http://schemas.openxmlformats.org/officeDocument/2006/relationships/hyperlink" Target="https://www.amazon.com/dp/B0924NMTQ3" TargetMode="External"/><Relationship Id="rId12" Type="http://schemas.openxmlformats.org/officeDocument/2006/relationships/hyperlink" Target="https://www.digikey.com/en/products/detail/aratas-america-llc/B3F-1020/44059" TargetMode="External"/><Relationship Id="rId34" Type="http://schemas.openxmlformats.org/officeDocument/2006/relationships/hyperlink" Target="https://www.digikey.com/en/products/detail/samtec-inc/SSQ-107-03-T-S/1111951" TargetMode="External"/><Relationship Id="rId15" Type="http://schemas.openxmlformats.org/officeDocument/2006/relationships/hyperlink" Target="https://www.amazon.com/Resistor-Tolerance-Resistors-Limiting-Certificated/dp/B08QRWL6Z2/" TargetMode="External"/><Relationship Id="rId37" Type="http://schemas.openxmlformats.org/officeDocument/2006/relationships/hyperlink" Target="https://www.amazon.com/dp/B0CJHHXYM9" TargetMode="External"/><Relationship Id="rId14" Type="http://schemas.openxmlformats.org/officeDocument/2006/relationships/hyperlink" Target="https://www.digikey.com/en/products/result?keywords=MFR-25FBF52-10K0" TargetMode="External"/><Relationship Id="rId36" Type="http://schemas.openxmlformats.org/officeDocument/2006/relationships/hyperlink" Target="https://www.digikey.com/en/products/detail/phoenix-contact/1757255/260475" TargetMode="External"/><Relationship Id="rId17" Type="http://schemas.openxmlformats.org/officeDocument/2006/relationships/hyperlink" Target="https://www.amazon.com/mxuteuk-Multilayer-Monolithic-Capacitor-0-1uf-104/dp/B08B3VCK42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www.digikey.com/en/products/result?keywords=MFR-25FBF52-51K0" TargetMode="External"/><Relationship Id="rId38" Type="http://schemas.openxmlformats.org/officeDocument/2006/relationships/hyperlink" Target="https://www.digikey.com/en/products/detail/recom-power/R-DR-CLIP/17801492?gclsrc=aw.ds&amp;gad_source=1&amp;gad_campaignid=20232005509&amp;gbraid=0AAAAADrbLlhpp6-ZTOlt4y13ARfQdsx8T&amp;gclid=Cj0KCQjwguLSBhDLARIsAH-yPrFTsTLBdUgbzqVKai-uqSy1RDGv6ld-O8Zj98gZkDrZpAjZjRtSl3saAg-QEALw_wcB" TargetMode="External"/><Relationship Id="rId19" Type="http://schemas.openxmlformats.org/officeDocument/2006/relationships/hyperlink" Target="https://www.amazon.com/dp/B0G48MZGPL" TargetMode="External"/><Relationship Id="rId18" Type="http://schemas.openxmlformats.org/officeDocument/2006/relationships/hyperlink" Target="https://www.digikey.com/en/products/result?keywords=K104K15X7RF5UH5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5.43"/>
    <col customWidth="1" min="2" max="2" width="26.0"/>
    <col customWidth="1" min="3" max="3" width="8.57"/>
    <col customWidth="1" min="4" max="4" width="6.0"/>
    <col customWidth="1" min="5" max="5" width="34.0"/>
    <col customWidth="1" min="6" max="6" width="13.0"/>
    <col customWidth="1" min="7" max="7" width="13.86"/>
    <col customWidth="1" min="8" max="8" width="22.0"/>
    <col customWidth="1" min="9" max="9" width="38.0"/>
    <col customWidth="1" min="10" max="10" width="18.29"/>
    <col customWidth="1" min="11" max="11" width="48.0"/>
    <col customWidth="1" min="12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>
        <v>1.0</v>
      </c>
      <c r="C4" s="5" t="s">
        <v>3</v>
      </c>
    </row>
    <row r="6">
      <c r="A6" s="6" t="s">
        <v>4</v>
      </c>
      <c r="B6" s="6" t="s">
        <v>5</v>
      </c>
      <c r="C6" s="7" t="s">
        <v>6</v>
      </c>
      <c r="D6" s="7" t="s">
        <v>7</v>
      </c>
      <c r="E6" s="6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  <c r="K6" s="7" t="s">
        <v>14</v>
      </c>
    </row>
    <row r="7">
      <c r="A7" s="8">
        <v>1.0</v>
      </c>
      <c r="B7" s="9" t="s">
        <v>15</v>
      </c>
      <c r="C7" s="8">
        <v>1.0</v>
      </c>
      <c r="D7" s="8">
        <f t="shared" ref="D7:D25" si="1">C7*$B$4</f>
        <v>1</v>
      </c>
      <c r="E7" s="10" t="s">
        <v>16</v>
      </c>
      <c r="F7" s="8" t="s">
        <v>17</v>
      </c>
      <c r="G7" s="11" t="s">
        <v>18</v>
      </c>
      <c r="H7" s="9" t="s">
        <v>19</v>
      </c>
      <c r="I7" s="10" t="s">
        <v>20</v>
      </c>
      <c r="J7" s="12" t="s">
        <v>18</v>
      </c>
      <c r="K7" s="10" t="s">
        <v>21</v>
      </c>
    </row>
    <row r="8">
      <c r="A8" s="13">
        <v>2.0</v>
      </c>
      <c r="B8" s="14" t="s">
        <v>22</v>
      </c>
      <c r="C8" s="13">
        <v>1.0</v>
      </c>
      <c r="D8" s="13">
        <f t="shared" si="1"/>
        <v>1</v>
      </c>
      <c r="E8" s="15" t="s">
        <v>23</v>
      </c>
      <c r="F8" s="13" t="s">
        <v>24</v>
      </c>
      <c r="G8" s="11" t="s">
        <v>18</v>
      </c>
      <c r="H8" s="14" t="s">
        <v>25</v>
      </c>
      <c r="I8" s="15" t="s">
        <v>26</v>
      </c>
      <c r="J8" s="12" t="s">
        <v>18</v>
      </c>
      <c r="K8" s="14" t="s">
        <v>27</v>
      </c>
    </row>
    <row r="9">
      <c r="A9" s="8">
        <v>3.0</v>
      </c>
      <c r="B9" s="9" t="s">
        <v>28</v>
      </c>
      <c r="C9" s="8">
        <v>1.0</v>
      </c>
      <c r="D9" s="8">
        <f t="shared" si="1"/>
        <v>1</v>
      </c>
      <c r="E9" s="10" t="s">
        <v>29</v>
      </c>
      <c r="F9" s="8" t="s">
        <v>30</v>
      </c>
      <c r="G9" s="11" t="s">
        <v>18</v>
      </c>
      <c r="H9" s="9" t="s">
        <v>31</v>
      </c>
      <c r="I9" s="9" t="s">
        <v>32</v>
      </c>
      <c r="J9" s="11" t="s">
        <v>18</v>
      </c>
      <c r="K9" s="9" t="s">
        <v>33</v>
      </c>
    </row>
    <row r="10">
      <c r="A10" s="13">
        <v>4.0</v>
      </c>
      <c r="B10" s="15" t="s">
        <v>34</v>
      </c>
      <c r="C10" s="13">
        <v>2.0</v>
      </c>
      <c r="D10" s="13">
        <f t="shared" si="1"/>
        <v>2</v>
      </c>
      <c r="E10" s="14" t="s">
        <v>35</v>
      </c>
      <c r="F10" s="13" t="s">
        <v>36</v>
      </c>
      <c r="G10" s="11" t="s">
        <v>18</v>
      </c>
      <c r="H10" s="15" t="s">
        <v>37</v>
      </c>
      <c r="I10" s="15" t="s">
        <v>38</v>
      </c>
      <c r="J10" s="11" t="s">
        <v>18</v>
      </c>
      <c r="K10" s="14" t="s">
        <v>39</v>
      </c>
    </row>
    <row r="11">
      <c r="A11" s="8">
        <v>5.0</v>
      </c>
      <c r="B11" s="9" t="s">
        <v>40</v>
      </c>
      <c r="C11" s="8">
        <v>1.0</v>
      </c>
      <c r="D11" s="8">
        <f t="shared" si="1"/>
        <v>1</v>
      </c>
      <c r="E11" s="10" t="s">
        <v>41</v>
      </c>
      <c r="F11" s="8" t="s">
        <v>42</v>
      </c>
      <c r="G11" s="11" t="s">
        <v>18</v>
      </c>
      <c r="H11" s="9" t="s">
        <v>25</v>
      </c>
      <c r="I11" s="10" t="s">
        <v>43</v>
      </c>
      <c r="J11" s="11" t="s">
        <v>18</v>
      </c>
      <c r="K11" s="10" t="s">
        <v>44</v>
      </c>
    </row>
    <row r="12">
      <c r="A12" s="8">
        <v>6.0</v>
      </c>
      <c r="B12" s="9" t="s">
        <v>45</v>
      </c>
      <c r="C12" s="8">
        <v>2.0</v>
      </c>
      <c r="D12" s="8">
        <f t="shared" si="1"/>
        <v>2</v>
      </c>
      <c r="E12" s="10" t="s">
        <v>46</v>
      </c>
      <c r="F12" s="8" t="s">
        <v>47</v>
      </c>
      <c r="G12" s="11" t="s">
        <v>18</v>
      </c>
      <c r="H12" s="9" t="s">
        <v>48</v>
      </c>
      <c r="I12" s="9" t="s">
        <v>49</v>
      </c>
      <c r="J12" s="12" t="s">
        <v>18</v>
      </c>
      <c r="K12" s="10"/>
    </row>
    <row r="13">
      <c r="A13" s="8">
        <v>7.0</v>
      </c>
      <c r="B13" s="9" t="s">
        <v>50</v>
      </c>
      <c r="C13" s="8">
        <v>2.0</v>
      </c>
      <c r="D13" s="8">
        <f t="shared" si="1"/>
        <v>2</v>
      </c>
      <c r="E13" s="10" t="s">
        <v>51</v>
      </c>
      <c r="F13" s="16" t="s">
        <v>52</v>
      </c>
      <c r="G13" s="12" t="s">
        <v>18</v>
      </c>
      <c r="H13" s="9" t="s">
        <v>53</v>
      </c>
      <c r="I13" s="10" t="s">
        <v>54</v>
      </c>
      <c r="J13" s="11" t="s">
        <v>18</v>
      </c>
      <c r="K13" s="10"/>
    </row>
    <row r="14">
      <c r="A14" s="13">
        <v>8.0</v>
      </c>
      <c r="B14" s="14" t="s">
        <v>55</v>
      </c>
      <c r="C14" s="13">
        <v>1.0</v>
      </c>
      <c r="D14" s="13">
        <f t="shared" si="1"/>
        <v>1</v>
      </c>
      <c r="E14" s="15" t="s">
        <v>56</v>
      </c>
      <c r="F14" s="17" t="s">
        <v>57</v>
      </c>
      <c r="G14" s="12" t="s">
        <v>18</v>
      </c>
      <c r="H14" s="14" t="s">
        <v>53</v>
      </c>
      <c r="I14" s="15" t="s">
        <v>58</v>
      </c>
      <c r="J14" s="11" t="s">
        <v>18</v>
      </c>
      <c r="K14" s="15"/>
    </row>
    <row r="15">
      <c r="A15" s="8">
        <v>9.0</v>
      </c>
      <c r="B15" s="9" t="s">
        <v>59</v>
      </c>
      <c r="C15" s="8">
        <v>2.0</v>
      </c>
      <c r="D15" s="8">
        <f t="shared" si="1"/>
        <v>2</v>
      </c>
      <c r="E15" s="10" t="s">
        <v>60</v>
      </c>
      <c r="F15" s="16" t="s">
        <v>61</v>
      </c>
      <c r="G15" s="12" t="s">
        <v>18</v>
      </c>
      <c r="H15" s="9" t="s">
        <v>62</v>
      </c>
      <c r="I15" s="10" t="s">
        <v>63</v>
      </c>
      <c r="J15" s="11" t="s">
        <v>18</v>
      </c>
      <c r="K15" s="10" t="s">
        <v>64</v>
      </c>
    </row>
    <row r="16">
      <c r="A16" s="13">
        <v>10.0</v>
      </c>
      <c r="B16" s="14" t="s">
        <v>65</v>
      </c>
      <c r="C16" s="13">
        <v>5.0</v>
      </c>
      <c r="D16" s="13">
        <f t="shared" si="1"/>
        <v>5</v>
      </c>
      <c r="E16" s="15" t="s">
        <v>66</v>
      </c>
      <c r="F16" s="13" t="s">
        <v>67</v>
      </c>
      <c r="G16" s="11" t="s">
        <v>18</v>
      </c>
      <c r="H16" s="14" t="s">
        <v>68</v>
      </c>
      <c r="I16" s="15" t="s">
        <v>69</v>
      </c>
      <c r="J16" s="11" t="s">
        <v>18</v>
      </c>
      <c r="K16" s="15"/>
    </row>
    <row r="17">
      <c r="A17" s="8">
        <v>11.0</v>
      </c>
      <c r="B17" s="9" t="s">
        <v>70</v>
      </c>
      <c r="C17" s="8">
        <v>2.0</v>
      </c>
      <c r="D17" s="8">
        <f t="shared" si="1"/>
        <v>2</v>
      </c>
      <c r="E17" s="10" t="s">
        <v>71</v>
      </c>
      <c r="F17" s="8" t="s">
        <v>72</v>
      </c>
      <c r="G17" s="11" t="s">
        <v>18</v>
      </c>
      <c r="H17" s="9" t="s">
        <v>68</v>
      </c>
      <c r="I17" s="10" t="s">
        <v>73</v>
      </c>
      <c r="J17" s="12" t="s">
        <v>74</v>
      </c>
      <c r="K17" s="10"/>
    </row>
    <row r="18">
      <c r="A18" s="13">
        <v>12.0</v>
      </c>
      <c r="B18" s="15" t="s">
        <v>75</v>
      </c>
      <c r="C18" s="13">
        <v>1.0</v>
      </c>
      <c r="D18" s="13">
        <f t="shared" si="1"/>
        <v>1</v>
      </c>
      <c r="E18" s="15" t="s">
        <v>76</v>
      </c>
      <c r="F18" s="13" t="s">
        <v>77</v>
      </c>
      <c r="G18" s="11" t="s">
        <v>18</v>
      </c>
      <c r="H18" s="14" t="s">
        <v>68</v>
      </c>
      <c r="I18" s="14" t="s">
        <v>78</v>
      </c>
      <c r="J18" s="12" t="s">
        <v>79</v>
      </c>
      <c r="K18" s="15"/>
    </row>
    <row r="19">
      <c r="A19" s="8">
        <v>13.0</v>
      </c>
      <c r="B19" s="9" t="s">
        <v>80</v>
      </c>
      <c r="C19" s="8">
        <v>3.0</v>
      </c>
      <c r="D19" s="8">
        <f t="shared" si="1"/>
        <v>3</v>
      </c>
      <c r="E19" s="10" t="s">
        <v>81</v>
      </c>
      <c r="F19" s="16" t="s">
        <v>82</v>
      </c>
      <c r="G19" s="12" t="s">
        <v>18</v>
      </c>
      <c r="H19" s="9" t="s">
        <v>83</v>
      </c>
      <c r="I19" s="9" t="s">
        <v>84</v>
      </c>
      <c r="J19" s="11" t="s">
        <v>18</v>
      </c>
      <c r="K19" s="9" t="s">
        <v>85</v>
      </c>
    </row>
    <row r="20">
      <c r="A20" s="13">
        <v>14.0</v>
      </c>
      <c r="B20" s="14" t="s">
        <v>86</v>
      </c>
      <c r="C20" s="13">
        <v>1.0</v>
      </c>
      <c r="D20" s="13">
        <f t="shared" si="1"/>
        <v>1</v>
      </c>
      <c r="E20" s="15" t="s">
        <v>87</v>
      </c>
      <c r="F20" s="17" t="s">
        <v>88</v>
      </c>
      <c r="G20" s="12" t="s">
        <v>18</v>
      </c>
      <c r="H20" s="14" t="s">
        <v>83</v>
      </c>
      <c r="I20" s="15" t="s">
        <v>89</v>
      </c>
      <c r="J20" s="11" t="s">
        <v>18</v>
      </c>
      <c r="K20" s="15" t="s">
        <v>90</v>
      </c>
    </row>
    <row r="21" ht="15.75" customHeight="1">
      <c r="A21" s="8">
        <v>15.0</v>
      </c>
      <c r="B21" s="9" t="s">
        <v>91</v>
      </c>
      <c r="C21" s="8">
        <v>2.0</v>
      </c>
      <c r="D21" s="8">
        <f t="shared" si="1"/>
        <v>2</v>
      </c>
      <c r="E21" s="10" t="s">
        <v>92</v>
      </c>
      <c r="F21" s="16" t="s">
        <v>82</v>
      </c>
      <c r="G21" s="12" t="s">
        <v>18</v>
      </c>
      <c r="H21" s="9" t="s">
        <v>83</v>
      </c>
      <c r="I21" s="9" t="s">
        <v>93</v>
      </c>
      <c r="J21" s="11" t="s">
        <v>18</v>
      </c>
      <c r="K21" s="9" t="s">
        <v>94</v>
      </c>
    </row>
    <row r="22" ht="15.75" customHeight="1">
      <c r="A22" s="13">
        <v>16.0</v>
      </c>
      <c r="B22" s="14" t="s">
        <v>95</v>
      </c>
      <c r="C22" s="13">
        <v>1.0</v>
      </c>
      <c r="D22" s="13">
        <f t="shared" si="1"/>
        <v>1</v>
      </c>
      <c r="E22" s="15" t="s">
        <v>96</v>
      </c>
      <c r="F22" s="13" t="s">
        <v>97</v>
      </c>
      <c r="G22" s="11" t="s">
        <v>18</v>
      </c>
      <c r="H22" s="14" t="s">
        <v>83</v>
      </c>
      <c r="I22" s="15" t="s">
        <v>98</v>
      </c>
      <c r="J22" s="11" t="s">
        <v>18</v>
      </c>
      <c r="K22" s="15"/>
    </row>
    <row r="23" ht="15.75" customHeight="1">
      <c r="A23" s="8">
        <v>17.0</v>
      </c>
      <c r="B23" s="9" t="s">
        <v>99</v>
      </c>
      <c r="C23" s="8">
        <v>1.0</v>
      </c>
      <c r="D23" s="8">
        <f t="shared" si="1"/>
        <v>1</v>
      </c>
      <c r="E23" s="10" t="s">
        <v>100</v>
      </c>
      <c r="F23" s="16" t="s">
        <v>101</v>
      </c>
      <c r="G23" s="12" t="s">
        <v>18</v>
      </c>
      <c r="H23" s="9" t="s">
        <v>102</v>
      </c>
      <c r="I23" s="9" t="s">
        <v>103</v>
      </c>
      <c r="J23" s="12" t="s">
        <v>18</v>
      </c>
      <c r="K23" s="9" t="s">
        <v>104</v>
      </c>
    </row>
    <row r="24" ht="15.75" customHeight="1">
      <c r="A24" s="13">
        <v>18.0</v>
      </c>
      <c r="B24" s="14" t="s">
        <v>105</v>
      </c>
      <c r="C24" s="13">
        <v>2.0</v>
      </c>
      <c r="D24" s="13">
        <f t="shared" si="1"/>
        <v>2</v>
      </c>
      <c r="E24" s="15" t="s">
        <v>106</v>
      </c>
      <c r="F24" s="13" t="s">
        <v>107</v>
      </c>
      <c r="G24" s="11" t="s">
        <v>18</v>
      </c>
      <c r="H24" s="14" t="s">
        <v>108</v>
      </c>
      <c r="I24" s="14" t="s">
        <v>109</v>
      </c>
      <c r="J24" s="18" t="s">
        <v>110</v>
      </c>
      <c r="K24" s="14" t="s">
        <v>111</v>
      </c>
    </row>
    <row r="25" ht="15.75" customHeight="1">
      <c r="A25" s="8">
        <v>19.0</v>
      </c>
      <c r="B25" s="10" t="s">
        <v>112</v>
      </c>
      <c r="C25" s="8">
        <v>1.0</v>
      </c>
      <c r="D25" s="8">
        <f t="shared" si="1"/>
        <v>1</v>
      </c>
      <c r="E25" s="10" t="s">
        <v>113</v>
      </c>
      <c r="F25" s="8" t="s">
        <v>114</v>
      </c>
      <c r="G25" s="11" t="s">
        <v>18</v>
      </c>
      <c r="H25" s="9" t="s">
        <v>115</v>
      </c>
      <c r="I25" s="9" t="s">
        <v>116</v>
      </c>
      <c r="J25" s="12" t="s">
        <v>18</v>
      </c>
      <c r="K25" s="9" t="s">
        <v>117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D2"/>
  </mergeCells>
  <hyperlinks>
    <hyperlink r:id="rId1" ref="G7"/>
    <hyperlink r:id="rId2" ref="J7"/>
    <hyperlink r:id="rId3" ref="G8"/>
    <hyperlink r:id="rId4" ref="J8"/>
    <hyperlink r:id="rId5" ref="G9"/>
    <hyperlink r:id="rId6" ref="J9"/>
    <hyperlink r:id="rId7" ref="G10"/>
    <hyperlink r:id="rId8" ref="J10"/>
    <hyperlink r:id="rId9" ref="G11"/>
    <hyperlink r:id="rId10" ref="J11"/>
    <hyperlink r:id="rId11" ref="G12"/>
    <hyperlink r:id="rId12" ref="J12"/>
    <hyperlink r:id="rId13" ref="G13"/>
    <hyperlink r:id="rId14" ref="J13"/>
    <hyperlink r:id="rId15" ref="G14"/>
    <hyperlink r:id="rId16" ref="J14"/>
    <hyperlink r:id="rId17" ref="G15"/>
    <hyperlink r:id="rId18" ref="J15"/>
    <hyperlink r:id="rId19" ref="G16"/>
    <hyperlink r:id="rId20" ref="J16"/>
    <hyperlink r:id="rId21" ref="G17"/>
    <hyperlink r:id="rId22" ref="J17"/>
    <hyperlink r:id="rId23" ref="G18"/>
    <hyperlink r:id="rId24" ref="J18"/>
    <hyperlink r:id="rId25" ref="G19"/>
    <hyperlink r:id="rId26" ref="J19"/>
    <hyperlink r:id="rId27" ref="G20"/>
    <hyperlink r:id="rId28" ref="J20"/>
    <hyperlink r:id="rId29" ref="G21"/>
    <hyperlink r:id="rId30" ref="J21"/>
    <hyperlink r:id="rId31" ref="G22"/>
    <hyperlink r:id="rId32" ref="J22"/>
    <hyperlink r:id="rId33" ref="G23"/>
    <hyperlink r:id="rId34" ref="J23"/>
    <hyperlink r:id="rId35" ref="G24"/>
    <hyperlink r:id="rId36" ref="J24"/>
    <hyperlink r:id="rId37" ref="G25"/>
    <hyperlink r:id="rId38" ref="J25"/>
  </hyperlinks>
  <printOptions/>
  <pageMargins bottom="1.0" footer="0.0" header="0.0" left="0.75" right="0.75" top="1.0"/>
  <pageSetup paperSize="9" orientation="portrait"/>
  <drawing r:id="rId3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14.0"/>
    <col customWidth="1" min="3" max="26" width="8.71"/>
  </cols>
  <sheetData>
    <row r="1">
      <c r="A1" s="1" t="s">
        <v>118</v>
      </c>
    </row>
    <row r="2">
      <c r="A2" s="19" t="s">
        <v>119</v>
      </c>
    </row>
    <row r="4">
      <c r="B4" s="20" t="s">
        <v>118</v>
      </c>
    </row>
    <row r="5" ht="43.5" customHeight="1">
      <c r="B5" s="21"/>
    </row>
    <row r="7">
      <c r="B7" s="22"/>
    </row>
    <row r="8" ht="43.5" customHeight="1">
      <c r="B8" s="21"/>
    </row>
    <row r="10">
      <c r="B10" s="22"/>
    </row>
    <row r="11" ht="43.5" customHeight="1">
      <c r="B11" s="21"/>
    </row>
    <row r="13">
      <c r="B13" s="22"/>
    </row>
    <row r="14" ht="43.5" customHeight="1">
      <c r="B14" s="21"/>
    </row>
    <row r="16">
      <c r="B16" s="22"/>
    </row>
    <row r="17" ht="43.5" customHeight="1">
      <c r="B17" s="21"/>
    </row>
    <row r="19">
      <c r="B19" s="22"/>
    </row>
    <row r="20" ht="43.5" customHeight="1">
      <c r="B20" s="21"/>
    </row>
    <row r="21" ht="15.75" customHeight="1"/>
    <row r="22" ht="15.75" customHeight="1">
      <c r="B22" s="22"/>
    </row>
    <row r="23" ht="43.5" customHeight="1">
      <c r="B23" s="2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printOptions/>
  <pageMargins bottom="1.0" footer="0.0" header="0.0" left="0.75" right="0.75" top="1.0"/>
  <pageSetup paperSize="9" orientation="portrait"/>
  <drawing r:id="rId1"/>
</worksheet>
</file>